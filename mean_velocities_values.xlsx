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yda\Documents\Materia_Activa_UNAV\Outputs\d_15\2026_07_15\Speed_Distributions\"/>
    </mc:Choice>
  </mc:AlternateContent>
  <xr:revisionPtr revIDLastSave="0" documentId="13_ncr:1_{4E67C86B-5800-4739-B759-07992E570623}" xr6:coauthVersionLast="47" xr6:coauthVersionMax="47" xr10:uidLastSave="{00000000-0000-0000-0000-000000000000}"/>
  <bookViews>
    <workbookView xWindow="-108" yWindow="-108" windowWidth="23256" windowHeight="12456" xr2:uid="{E60E67F5-306B-46CA-8C2D-95F0F141F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E4" i="1"/>
  <c r="E6" i="1"/>
  <c r="E7" i="1"/>
  <c r="E8" i="1"/>
  <c r="E5" i="1"/>
  <c r="C8" i="1"/>
  <c r="C7" i="1"/>
  <c r="C6" i="1"/>
  <c r="C4" i="1"/>
</calcChain>
</file>

<file path=xl/sharedStrings.xml><?xml version="1.0" encoding="utf-8"?>
<sst xmlns="http://schemas.openxmlformats.org/spreadsheetml/2006/main" count="13" uniqueCount="9">
  <si>
    <t>mean</t>
  </si>
  <si>
    <t>std</t>
  </si>
  <si>
    <t>speed</t>
  </si>
  <si>
    <t>vx</t>
  </si>
  <si>
    <t>vy</t>
  </si>
  <si>
    <t>std_final_sp</t>
  </si>
  <si>
    <t>std_final_vx</t>
  </si>
  <si>
    <t>std_final_vy</t>
  </si>
  <si>
    <t>#MEAN VALUES FOR EVERY EXPERIMENT (DISTRIBUTION WITH THE PARTICLES OF THE 5 REPETITIONS)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</si>
</sst>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Vx</a:t>
            </a:r>
            <a:r>
              <a:rPr lang="es-ES" baseline="0"/>
              <a:t> mean values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4017169041478194E-2"/>
          <c:y val="0.19939252687660716"/>
          <c:w val="0.8701474677973885"/>
          <c:h val="0.77475001970690982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77892386555786"/>
                  <c:y val="-0.293417516080561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Hoja1!$I$3:$I$8</c:f>
                <c:numCache>
                  <c:formatCode>General</c:formatCode>
                  <c:ptCount val="6"/>
                  <c:pt idx="0">
                    <c:v>0.1838047877504827</c:v>
                  </c:pt>
                  <c:pt idx="1">
                    <c:v>0.15473590404298543</c:v>
                  </c:pt>
                  <c:pt idx="2">
                    <c:v>0.1838047877504827</c:v>
                  </c:pt>
                  <c:pt idx="3">
                    <c:v>0.18201593336848287</c:v>
                  </c:pt>
                  <c:pt idx="4">
                    <c:v>0.16278574876198468</c:v>
                  </c:pt>
                  <c:pt idx="5">
                    <c:v>0.14579163213298629</c:v>
                  </c:pt>
                </c:numCache>
              </c:numRef>
            </c:plus>
            <c:minus>
              <c:numRef>
                <c:f>Hoja1!$I$3:$I$8</c:f>
                <c:numCache>
                  <c:formatCode>General</c:formatCode>
                  <c:ptCount val="6"/>
                  <c:pt idx="0">
                    <c:v>0.1838047877504827</c:v>
                  </c:pt>
                  <c:pt idx="1">
                    <c:v>0.15473590404298543</c:v>
                  </c:pt>
                  <c:pt idx="2">
                    <c:v>0.1838047877504827</c:v>
                  </c:pt>
                  <c:pt idx="3">
                    <c:v>0.18201593336848287</c:v>
                  </c:pt>
                  <c:pt idx="4">
                    <c:v>0.16278574876198468</c:v>
                  </c:pt>
                  <c:pt idx="5">
                    <c:v>0.14579163213298629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Hoja1!$A$3:$A$8</c:f>
              <c:numCache>
                <c:formatCode>General</c:formatCode>
                <c:ptCount val="6"/>
                <c:pt idx="0">
                  <c:v>8</c:v>
                </c:pt>
                <c:pt idx="1">
                  <c:v>18</c:v>
                </c:pt>
                <c:pt idx="2">
                  <c:v>25</c:v>
                </c:pt>
                <c:pt idx="3">
                  <c:v>35</c:v>
                </c:pt>
                <c:pt idx="4">
                  <c:v>71</c:v>
                </c:pt>
                <c:pt idx="5">
                  <c:v>106</c:v>
                </c:pt>
              </c:numCache>
            </c:numRef>
          </c:xVal>
          <c:yVal>
            <c:numRef>
              <c:f>Hoja1!$D$3:$D$8</c:f>
              <c:numCache>
                <c:formatCode>General</c:formatCode>
                <c:ptCount val="6"/>
                <c:pt idx="0">
                  <c:v>-0.34699999999999998</c:v>
                </c:pt>
                <c:pt idx="1">
                  <c:v>-0.20100000000000001</c:v>
                </c:pt>
                <c:pt idx="2">
                  <c:v>-0.152</c:v>
                </c:pt>
                <c:pt idx="3">
                  <c:v>-0.08</c:v>
                </c:pt>
                <c:pt idx="4">
                  <c:v>0.125</c:v>
                </c:pt>
                <c:pt idx="5">
                  <c:v>0.27700000000000002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F-4876-AA46-39567570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624463"/>
        <c:axId val="80751751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Hoja1!$B$3:$B$6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0.5</c:v>
                      </c:pt>
                      <c:pt idx="1">
                        <c:v>0.38900000000000001</c:v>
                      </c:pt>
                      <c:pt idx="2">
                        <c:v>0.43099999999999999</c:v>
                      </c:pt>
                      <c:pt idx="3">
                        <c:v>0.40899999999999997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Hoja1!$B$3:$B$6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0.5</c:v>
                      </c:pt>
                      <c:pt idx="1">
                        <c:v>0.38900000000000001</c:v>
                      </c:pt>
                      <c:pt idx="2">
                        <c:v>0.43099999999999999</c:v>
                      </c:pt>
                      <c:pt idx="3">
                        <c:v>0.40899999999999997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6BF-4876-AA46-395675704083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</c:v>
                      </c:pt>
                      <c:pt idx="1">
                        <c:v>18</c:v>
                      </c:pt>
                      <c:pt idx="2">
                        <c:v>25</c:v>
                      </c:pt>
                      <c:pt idx="3">
                        <c:v>35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Hoja1!$F$3:$F$6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-6.0000000000000001E-3</c:v>
                      </c:pt>
                      <c:pt idx="1">
                        <c:v>-6.0000000000000001E-3</c:v>
                      </c:pt>
                      <c:pt idx="2">
                        <c:v>-1.4E-2</c:v>
                      </c:pt>
                      <c:pt idx="3">
                        <c:v>-1.2E-2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6BF-4876-AA46-395675704083}"/>
                  </c:ext>
                </c:extLst>
              </c15:ser>
            </c15:filteredScatterSeries>
          </c:ext>
        </c:extLst>
      </c:scatterChart>
      <c:valAx>
        <c:axId val="751624463"/>
        <c:scaling>
          <c:orientation val="minMax"/>
          <c:max val="107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N_metallic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17519"/>
        <c:crosses val="autoZero"/>
        <c:crossBetween val="midCat"/>
      </c:valAx>
      <c:valAx>
        <c:axId val="807517519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mean </a:t>
                </a:r>
                <a:r>
                  <a:rPr lang="es-ES" baseline="0"/>
                  <a:t> vx  value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162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Speed</a:t>
            </a:r>
            <a:r>
              <a:rPr lang="es-ES" baseline="0"/>
              <a:t> mean values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Hoja1!$H$3:$H$8</c:f>
                <c:numCache>
                  <c:formatCode>General</c:formatCode>
                  <c:ptCount val="6"/>
                  <c:pt idx="0">
                    <c:v>0.11582832123448911</c:v>
                  </c:pt>
                  <c:pt idx="1">
                    <c:v>7.4237456852993017E-2</c:v>
                  </c:pt>
                  <c:pt idx="2">
                    <c:v>7.513188404399293E-2</c:v>
                  </c:pt>
                  <c:pt idx="3">
                    <c:v>6.4845971347493897E-2</c:v>
                  </c:pt>
                  <c:pt idx="4">
                    <c:v>5.7690553819494575E-2</c:v>
                  </c:pt>
                  <c:pt idx="5">
                    <c:v>4.9193495504995369E-2</c:v>
                  </c:pt>
                </c:numCache>
              </c:numRef>
            </c:plus>
            <c:minus>
              <c:numRef>
                <c:f>Hoja1!$H$3:$H$8</c:f>
                <c:numCache>
                  <c:formatCode>General</c:formatCode>
                  <c:ptCount val="6"/>
                  <c:pt idx="0">
                    <c:v>0.11582832123448911</c:v>
                  </c:pt>
                  <c:pt idx="1">
                    <c:v>7.4237456852993017E-2</c:v>
                  </c:pt>
                  <c:pt idx="2">
                    <c:v>7.513188404399293E-2</c:v>
                  </c:pt>
                  <c:pt idx="3">
                    <c:v>6.4845971347493897E-2</c:v>
                  </c:pt>
                  <c:pt idx="4">
                    <c:v>5.7690553819494575E-2</c:v>
                  </c:pt>
                  <c:pt idx="5">
                    <c:v>4.9193495504995369E-2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Hoja1!$A$3:$A$8</c:f>
              <c:numCache>
                <c:formatCode>General</c:formatCode>
                <c:ptCount val="6"/>
                <c:pt idx="0">
                  <c:v>8</c:v>
                </c:pt>
                <c:pt idx="1">
                  <c:v>18</c:v>
                </c:pt>
                <c:pt idx="2">
                  <c:v>25</c:v>
                </c:pt>
                <c:pt idx="3">
                  <c:v>35</c:v>
                </c:pt>
                <c:pt idx="4">
                  <c:v>71</c:v>
                </c:pt>
                <c:pt idx="5">
                  <c:v>106</c:v>
                </c:pt>
              </c:numCache>
            </c:numRef>
          </c:xVal>
          <c:yVal>
            <c:numRef>
              <c:f>Hoja1!$B$3:$B$8</c:f>
              <c:numCache>
                <c:formatCode>General</c:formatCode>
                <c:ptCount val="6"/>
                <c:pt idx="0">
                  <c:v>0.5</c:v>
                </c:pt>
                <c:pt idx="1">
                  <c:v>0.38900000000000001</c:v>
                </c:pt>
                <c:pt idx="2">
                  <c:v>0.43099999999999999</c:v>
                </c:pt>
                <c:pt idx="3">
                  <c:v>0.40899999999999997</c:v>
                </c:pt>
                <c:pt idx="4">
                  <c:v>0.375</c:v>
                </c:pt>
                <c:pt idx="5">
                  <c:v>0.42299999999999999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E-4F83-AAAC-B65447A70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95823"/>
        <c:axId val="1680724655"/>
      </c:scatterChart>
      <c:valAx>
        <c:axId val="177129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0724655"/>
        <c:crosses val="autoZero"/>
        <c:crossBetween val="midCat"/>
      </c:valAx>
      <c:valAx>
        <c:axId val="1680724655"/>
        <c:scaling>
          <c:orientation val="minMax"/>
          <c:max val="0.44000000000000006"/>
          <c:min val="0.37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129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Vy</a:t>
            </a:r>
            <a:r>
              <a:rPr lang="es-ES" baseline="0"/>
              <a:t> mean values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398507828714452"/>
                  <c:y val="9.1460234953983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Hoja1!$J$3:$J$8</c:f>
                <c:numCache>
                  <c:formatCode>General</c:formatCode>
                  <c:ptCount val="6"/>
                  <c:pt idx="0">
                    <c:v>4.8299068313995455E-2</c:v>
                  </c:pt>
                  <c:pt idx="1">
                    <c:v>4.5168573145495751E-2</c:v>
                  </c:pt>
                  <c:pt idx="2">
                    <c:v>4.6063000336495664E-2</c:v>
                  </c:pt>
                  <c:pt idx="3">
                    <c:v>4.4721359549995794E-2</c:v>
                  </c:pt>
                  <c:pt idx="4">
                    <c:v>4.2038077976996047E-2</c:v>
                  </c:pt>
                  <c:pt idx="5">
                    <c:v>4.5615786740995708E-2</c:v>
                  </c:pt>
                </c:numCache>
              </c:numRef>
            </c:plus>
            <c:minus>
              <c:numRef>
                <c:f>Hoja1!$J$3:$J$8</c:f>
                <c:numCache>
                  <c:formatCode>General</c:formatCode>
                  <c:ptCount val="6"/>
                  <c:pt idx="0">
                    <c:v>4.8299068313995455E-2</c:v>
                  </c:pt>
                  <c:pt idx="1">
                    <c:v>4.5168573145495751E-2</c:v>
                  </c:pt>
                  <c:pt idx="2">
                    <c:v>4.6063000336495664E-2</c:v>
                  </c:pt>
                  <c:pt idx="3">
                    <c:v>4.4721359549995794E-2</c:v>
                  </c:pt>
                  <c:pt idx="4">
                    <c:v>4.2038077976996047E-2</c:v>
                  </c:pt>
                  <c:pt idx="5">
                    <c:v>4.5615786740995708E-2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Hoja1!$A$3:$A$8</c:f>
              <c:numCache>
                <c:formatCode>General</c:formatCode>
                <c:ptCount val="6"/>
                <c:pt idx="0">
                  <c:v>8</c:v>
                </c:pt>
                <c:pt idx="1">
                  <c:v>18</c:v>
                </c:pt>
                <c:pt idx="2">
                  <c:v>25</c:v>
                </c:pt>
                <c:pt idx="3">
                  <c:v>35</c:v>
                </c:pt>
                <c:pt idx="4">
                  <c:v>71</c:v>
                </c:pt>
                <c:pt idx="5">
                  <c:v>106</c:v>
                </c:pt>
              </c:numCache>
            </c:numRef>
          </c:xVal>
          <c:yVal>
            <c:numRef>
              <c:f>Hoja1!$F$3:$F$8</c:f>
              <c:numCache>
                <c:formatCode>General</c:formatCode>
                <c:ptCount val="6"/>
                <c:pt idx="0">
                  <c:v>-6.0000000000000001E-3</c:v>
                </c:pt>
                <c:pt idx="1">
                  <c:v>-6.0000000000000001E-3</c:v>
                </c:pt>
                <c:pt idx="2">
                  <c:v>-1.4E-2</c:v>
                </c:pt>
                <c:pt idx="3">
                  <c:v>-1.2E-2</c:v>
                </c:pt>
                <c:pt idx="4">
                  <c:v>-0.04</c:v>
                </c:pt>
                <c:pt idx="5">
                  <c:v>-6.4000000000000001E-2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B-4A40-9014-B9A006C5C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803439"/>
        <c:axId val="1680733775"/>
      </c:scatterChart>
      <c:valAx>
        <c:axId val="183080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0733775"/>
        <c:crosses val="autoZero"/>
        <c:crossBetween val="midCat"/>
      </c:valAx>
      <c:valAx>
        <c:axId val="16807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080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317776</xdr:colOff>
      <xdr:row>9</xdr:row>
      <xdr:rowOff>49493</xdr:rowOff>
    </xdr:from>
    <xdr:to>
      <xdr:col>28</xdr:col>
      <xdr:colOff>142278</xdr:colOff>
      <xdr:row>24</xdr:row>
      <xdr:rowOff>49492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F6AFC3-E4EF-C2BB-CFCD-C6096C73F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187775</xdr:colOff>
      <xdr:row>18</xdr:row>
      <xdr:rowOff>58762</xdr:rowOff>
    </xdr:from>
    <xdr:to>
      <xdr:col>22</xdr:col>
      <xdr:colOff>42371</xdr:colOff>
      <xdr:row>33</xdr:row>
      <xdr:rowOff>112548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3306C5-C290-18AB-16C6-7DB012A0A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103731</xdr:colOff>
      <xdr:row>1</xdr:row>
      <xdr:rowOff>99466</xdr:rowOff>
    </xdr:from>
    <xdr:to>
      <xdr:col>21</xdr:col>
      <xdr:colOff>731104</xdr:colOff>
      <xdr:row>16</xdr:row>
      <xdr:rowOff>153254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C3C0C2-9646-2347-6E23-84A426A59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2991-8330-4B55-8074-5FA57A67405F}">
  <dimension ref="A1:L15"/>
  <sheetViews>
    <sheetView tabSelected="1" zoomScale="57" workbookViewId="0">
      <selection activeCell="H3" sqref="H3"/>
    </sheetView>
  </sheetViews>
  <sheetFormatPr baseColWidth="10" defaultRowHeight="14.4" x14ac:dyDescent="0.3"/>
  <cols>
    <col min="7" max="7" width="13" customWidth="1"/>
  </cols>
  <sheetData>
    <row r="1" spans="1:12" x14ac:dyDescent="0.3">
      <c r="A1" s="1"/>
      <c r="B1" s="2" t="s">
        <v>2</v>
      </c>
      <c r="C1" s="2"/>
      <c r="D1" s="2" t="s">
        <v>3</v>
      </c>
      <c r="E1" s="2"/>
      <c r="F1" s="2" t="s">
        <v>4</v>
      </c>
      <c r="G1" s="2"/>
    </row>
    <row r="2" spans="1:12" x14ac:dyDescent="0.3">
      <c r="A2" s="1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5</v>
      </c>
      <c r="I2" s="1" t="s">
        <v>6</v>
      </c>
      <c r="J2" s="1" t="s">
        <v>7</v>
      </c>
      <c r="L2" s="1" t="s">
        <v>8</v>
      </c>
    </row>
    <row r="3" spans="1:12" x14ac:dyDescent="0.3">
      <c r="A3" s="1">
        <v>8</v>
      </c>
      <c r="B3" s="1">
        <v>0.5</v>
      </c>
      <c r="C3" s="1">
        <v>0.25900000000000001</v>
      </c>
      <c r="D3" s="1">
        <v>-0.34699999999999998</v>
      </c>
      <c r="E3" s="1">
        <v>0.41099999999999998</v>
      </c>
      <c r="F3" s="1">
        <v>-6.0000000000000001E-3</v>
      </c>
      <c r="G3" s="1">
        <v>0.108</v>
      </c>
      <c r="H3">
        <f>C3/SQRT(5)</f>
        <v>0.11582832123448911</v>
      </c>
      <c r="I3">
        <f>E3/SQRT(5)</f>
        <v>0.1838047877504827</v>
      </c>
      <c r="J3">
        <f>G3/SQRT(5)</f>
        <v>4.8299068313995455E-2</v>
      </c>
    </row>
    <row r="4" spans="1:12" x14ac:dyDescent="0.3">
      <c r="A4" s="1">
        <v>18</v>
      </c>
      <c r="B4" s="1">
        <v>0.38900000000000001</v>
      </c>
      <c r="C4" s="1">
        <f>0.166</f>
        <v>0.16600000000000001</v>
      </c>
      <c r="D4" s="1">
        <v>-0.20100000000000001</v>
      </c>
      <c r="E4" s="1">
        <f>0.346</f>
        <v>0.34599999999999997</v>
      </c>
      <c r="F4" s="1">
        <v>-6.0000000000000001E-3</v>
      </c>
      <c r="G4" s="1">
        <v>0.10100000000000001</v>
      </c>
      <c r="H4">
        <f t="shared" ref="H4:H8" si="0">C4/SQRT(5)</f>
        <v>7.4237456852993017E-2</v>
      </c>
      <c r="I4">
        <f t="shared" ref="I4:I8" si="1">E4/SQRT(5)</f>
        <v>0.15473590404298543</v>
      </c>
      <c r="J4">
        <f t="shared" ref="J4:J8" si="2">G4/SQRT(5)</f>
        <v>4.5168573145495751E-2</v>
      </c>
    </row>
    <row r="5" spans="1:12" x14ac:dyDescent="0.3">
      <c r="A5" s="1">
        <v>25</v>
      </c>
      <c r="B5" s="1">
        <v>0.43099999999999999</v>
      </c>
      <c r="C5" s="1">
        <v>0.16800000000000001</v>
      </c>
      <c r="D5" s="1">
        <v>-0.152</v>
      </c>
      <c r="E5" s="1">
        <f>0.411</f>
        <v>0.41099999999999998</v>
      </c>
      <c r="F5" s="1">
        <v>-1.4E-2</v>
      </c>
      <c r="G5" s="1">
        <v>0.10299999999999999</v>
      </c>
      <c r="H5">
        <f t="shared" si="0"/>
        <v>7.513188404399293E-2</v>
      </c>
      <c r="I5">
        <f t="shared" si="1"/>
        <v>0.1838047877504827</v>
      </c>
      <c r="J5">
        <f t="shared" si="2"/>
        <v>4.6063000336495664E-2</v>
      </c>
    </row>
    <row r="6" spans="1:12" x14ac:dyDescent="0.3">
      <c r="A6" s="1">
        <v>35</v>
      </c>
      <c r="B6" s="1">
        <v>0.40899999999999997</v>
      </c>
      <c r="C6" s="1">
        <f>0.145</f>
        <v>0.14499999999999999</v>
      </c>
      <c r="D6" s="1">
        <v>-0.08</v>
      </c>
      <c r="E6" s="1">
        <f>0.407</f>
        <v>0.40699999999999997</v>
      </c>
      <c r="F6" s="1">
        <v>-1.2E-2</v>
      </c>
      <c r="G6" s="1">
        <v>0.1</v>
      </c>
      <c r="H6">
        <f t="shared" si="0"/>
        <v>6.4845971347493897E-2</v>
      </c>
      <c r="I6">
        <f t="shared" si="1"/>
        <v>0.18201593336848287</v>
      </c>
      <c r="J6">
        <f t="shared" si="2"/>
        <v>4.4721359549995794E-2</v>
      </c>
    </row>
    <row r="7" spans="1:12" x14ac:dyDescent="0.3">
      <c r="A7" s="1">
        <v>71</v>
      </c>
      <c r="B7" s="1">
        <v>0.375</v>
      </c>
      <c r="C7" s="1">
        <f>0.129</f>
        <v>0.129</v>
      </c>
      <c r="D7" s="1">
        <v>0.125</v>
      </c>
      <c r="E7" s="1">
        <f>0.364</f>
        <v>0.36399999999999999</v>
      </c>
      <c r="F7" s="1">
        <v>-0.04</v>
      </c>
      <c r="G7" s="1">
        <v>9.4E-2</v>
      </c>
      <c r="H7">
        <f t="shared" si="0"/>
        <v>5.7690553819494575E-2</v>
      </c>
      <c r="I7">
        <f t="shared" si="1"/>
        <v>0.16278574876198468</v>
      </c>
      <c r="J7">
        <f t="shared" si="2"/>
        <v>4.2038077976996047E-2</v>
      </c>
    </row>
    <row r="8" spans="1:12" x14ac:dyDescent="0.3">
      <c r="A8" s="1">
        <v>106</v>
      </c>
      <c r="B8" s="1">
        <v>0.42299999999999999</v>
      </c>
      <c r="C8" s="1">
        <f>0.11</f>
        <v>0.11</v>
      </c>
      <c r="D8" s="1">
        <v>0.27700000000000002</v>
      </c>
      <c r="E8" s="1">
        <f>0.326</f>
        <v>0.32600000000000001</v>
      </c>
      <c r="F8" s="1">
        <v>-6.4000000000000001E-2</v>
      </c>
      <c r="G8" s="1">
        <v>0.10199999999999999</v>
      </c>
      <c r="H8">
        <f t="shared" si="0"/>
        <v>4.9193495504995369E-2</v>
      </c>
      <c r="I8">
        <f t="shared" si="1"/>
        <v>0.14579163213298629</v>
      </c>
      <c r="J8">
        <f t="shared" si="2"/>
        <v>4.5615786740995708E-2</v>
      </c>
    </row>
    <row r="9" spans="1:12" x14ac:dyDescent="0.3">
      <c r="A9" s="1"/>
    </row>
    <row r="10" spans="1:12" x14ac:dyDescent="0.3">
      <c r="A10" s="1"/>
    </row>
    <row r="11" spans="1:12" x14ac:dyDescent="0.3">
      <c r="A11" s="1">
        <v>35</v>
      </c>
    </row>
    <row r="12" spans="1:12" x14ac:dyDescent="0.3">
      <c r="A12" s="1">
        <v>71</v>
      </c>
    </row>
    <row r="13" spans="1:12" x14ac:dyDescent="0.3">
      <c r="A13" s="1">
        <v>106</v>
      </c>
    </row>
    <row r="14" spans="1:12" x14ac:dyDescent="0.3">
      <c r="A14" s="1">
        <v>141</v>
      </c>
    </row>
    <row r="15" spans="1:12" x14ac:dyDescent="0.3">
      <c r="A15" s="1">
        <v>18</v>
      </c>
    </row>
  </sheetData>
  <mergeCells count="3">
    <mergeCell ref="B1:C1"/>
    <mergeCell ref="D1:E1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Neyda Armendariz Mestre</dc:creator>
  <cp:lastModifiedBy>Neyda Armendariz Mestre</cp:lastModifiedBy>
  <dcterms:created xsi:type="dcterms:W3CDTF">2026-07-29T13:15:51Z</dcterms:created>
  <dcterms:modified xsi:type="dcterms:W3CDTF">2026-08-03T09:23:57Z</dcterms:modified>
</cp:coreProperties>
</file>